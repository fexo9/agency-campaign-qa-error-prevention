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PRE-LAUNCH-CHECKLIST" sheetId="2" state="visible" r:id="rId2"/>
    <sheet xmlns:r="http://schemas.openxmlformats.org/officeDocument/2006/relationships" name="BUDGET-PACING" sheetId="3" state="visible" r:id="rId3"/>
    <sheet xmlns:r="http://schemas.openxmlformats.org/officeDocument/2006/relationships" name="TRACKING-UTM" sheetId="4" state="visible" r:id="rId4"/>
    <sheet xmlns:r="http://schemas.openxmlformats.org/officeDocument/2006/relationships" name="INCIDENT-LOG" sheetId="5" state="visible" r:id="rId5"/>
    <sheet xmlns:r="http://schemas.openxmlformats.org/officeDocument/2006/relationships" name="SIGN-OFF" sheetId="6" state="visible" r:id="rId6"/>
    <sheet xmlns:r="http://schemas.openxmlformats.org/officeDocument/2006/relationships" name="WORKED-EXAMPLE"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E1A2F"/>
      <sz val="14"/>
    </font>
    <font>
      <b val="1"/>
      <color rgb="002E1A2F"/>
      <sz val="11"/>
    </font>
    <font>
      <b val="1"/>
      <color rgb="009C0006"/>
      <sz val="12"/>
    </font>
    <font>
      <b val="1"/>
      <color rgb="00FFFFFF"/>
      <sz val="11"/>
    </font>
    <font>
      <b val="1"/>
      <color rgb="009C0006"/>
    </font>
    <font>
      <b val="1"/>
    </font>
  </fonts>
  <fills count="4">
    <fill>
      <patternFill/>
    </fill>
    <fill>
      <patternFill patternType="gray125"/>
    </fill>
    <fill>
      <patternFill patternType="solid">
        <fgColor rgb="002E1A2F"/>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0" fillId="0" borderId="1" pivotButton="0" quotePrefix="0" xfId="0"/>
    <xf numFmtId="0" fontId="0" fillId="0" borderId="1" applyAlignment="1" pivotButton="0" quotePrefix="0" xfId="0">
      <alignment vertical="top" wrapText="1"/>
    </xf>
    <xf numFmtId="4" fontId="0" fillId="3" borderId="0" pivotButton="0" quotePrefix="0" xfId="0"/>
    <xf numFmtId="4" fontId="0" fillId="0" borderId="0" pivotButton="0" quotePrefix="0" xfId="0"/>
    <xf numFmtId="9" fontId="0" fillId="0" borderId="0" pivotButton="0" quotePrefix="0" xfId="0"/>
    <xf numFmtId="0" fontId="5" fillId="0" borderId="0" pivotButton="0" quotePrefix="0" xfId="0"/>
    <xf numFmtId="0" fontId="0" fillId="3" borderId="0" pivotButton="0" quotePrefix="0" xfId="0"/>
    <xf numFmtId="4" fontId="0" fillId="0" borderId="0" applyAlignment="1" pivotButton="0" quotePrefix="0" xfId="0">
      <alignment vertical="top" wrapText="1"/>
    </xf>
    <xf numFmtId="4" fontId="0" fillId="0" borderId="1" pivotButton="0" quotePrefix="0" xfId="0"/>
    <xf numFmtId="4"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0"/>
  <sheetViews>
    <sheetView workbookViewId="0">
      <selection activeCell="A1" sqref="A1"/>
    </sheetView>
  </sheetViews>
  <sheetFormatPr baseColWidth="8" defaultRowHeight="15"/>
  <cols>
    <col width="20" customWidth="1" min="1" max="1"/>
    <col width="110" customWidth="1" min="2" max="2"/>
  </cols>
  <sheetData>
    <row r="1">
      <c r="A1" s="1" t="inlineStr">
        <is>
          <t>Agency Campaign QA &amp; Ad-Ops Error-Prevention Kit</t>
        </is>
      </c>
    </row>
    <row r="2" ht="15" customHeight="1">
      <c r="A2" s="2" t="inlineStr"/>
      <c r="B2" s="3" t="inlineStr"/>
    </row>
    <row r="3" ht="30" customHeight="1">
      <c r="A3" s="2" t="inlineStr">
        <is>
          <t>What this is</t>
        </is>
      </c>
      <c r="B3" s="3" t="inlineStr">
        <is>
          <t>A launch-gate system for agencies and freelancers who run paid campaigns for clients. It catches the errors that cost make-goods, credits, and clients: wrong budgets, wrong targeting, broken tracking, wrong creative, broken landing pages, missing sign-off, and no post-launch watch.</t>
        </is>
      </c>
    </row>
    <row r="4" ht="30" customHeight="1">
      <c r="A4" s="2" t="inlineStr">
        <is>
          <t>The one rule</t>
        </is>
      </c>
      <c r="B4" s="3" t="inlineStr">
        <is>
          <t>Two people touch every launch: one BUILDS, a different person CHECKS. If you work alone, check it once when you build it and once more after a break — never twice in a row.</t>
        </is>
      </c>
    </row>
    <row r="5" ht="30" customHeight="1">
      <c r="A5" s="2" t="inlineStr">
        <is>
          <t>How a launch runs</t>
        </is>
      </c>
      <c r="B5" s="3" t="inlineStr">
        <is>
          <t>1) Fill BUDGET-PACING + TRACKING-UTM. 2) Run all 40 checks on PRE-LAUNCH-CHECKLIST. 3) Get client sign-off on SIGN-OFF. 4) Launch only on GO. 5) Day-1 check within 24 hours. 6) Log any error in INCIDENT-LOG.</t>
        </is>
      </c>
    </row>
    <row r="6" ht="30" customHeight="1">
      <c r="A6" s="2" t="inlineStr">
        <is>
          <t>Statuses</t>
        </is>
      </c>
      <c r="B6" s="3" t="inlineStr">
        <is>
          <t>PASS = verified with evidence. FAIL = wrong, fix before launch. BLOCK = launch-stopper (missing sign-off, broken tracking, wrong budget). N/A = does not apply to this campaign.</t>
        </is>
      </c>
    </row>
    <row r="7" ht="15" customHeight="1">
      <c r="A7" s="2" t="inlineStr">
        <is>
          <t>Verdict</t>
        </is>
      </c>
      <c r="B7" s="3" t="inlineStr">
        <is>
          <t>GO only when zero BLOCK and zero FAIL. One BLOCK = NO-GO. FAIL with no BLOCK = HOLD until fixed.</t>
        </is>
      </c>
    </row>
    <row r="8" ht="30" customHeight="1">
      <c r="A8" s="2" t="inlineStr">
        <is>
          <t>Language note</t>
        </is>
      </c>
      <c r="B8" s="3" t="inlineStr">
        <is>
          <t>Sheet names and headers are in your language. Check-item text is in English because ad platforms, UTM parameters, pixels, and ad-ops terms are English in every market. This is deliberate, not a missing translation.</t>
        </is>
      </c>
    </row>
    <row r="9" ht="30" customHeight="1">
      <c r="A9" s="2" t="inlineStr">
        <is>
          <t>What this kit is NOT</t>
        </is>
      </c>
      <c r="B9" s="3" t="inlineStr">
        <is>
          <t>Not QA software. It does not connect to ad platforms, does not auto-check anything, does not give legal advice, and does not guarantee zero errors. It makes the manual check complete, recorded, and two-person — which is where most errors are caught.</t>
        </is>
      </c>
    </row>
    <row r="10" ht="15" customHeight="1">
      <c r="A10" s="2" t="inlineStr">
        <is>
          <t>Sheets</t>
        </is>
      </c>
      <c r="B10" s="3" t="inlineStr">
        <is>
          <t>START / PRE-LAUNCH-CHECKLIST / BUDGET-PACING / TRACKING-UTM / INCIDENT-LOG / SIGN-OFF / WORKED-EXAMPLE</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G48"/>
  <sheetViews>
    <sheetView workbookViewId="0">
      <pane ySplit="8" topLeftCell="A9" activePane="bottomLeft" state="frozen"/>
      <selection pane="bottomLeft" activeCell="A1" sqref="A1"/>
    </sheetView>
  </sheetViews>
  <sheetFormatPr baseColWidth="8" defaultRowHeight="15"/>
  <cols>
    <col width="22" customWidth="1" min="1" max="1"/>
    <col width="88" customWidth="1" min="2" max="2"/>
    <col width="5" customWidth="1" min="3" max="3"/>
    <col width="10" customWidth="1" min="4" max="4"/>
    <col width="16" customWidth="1" min="5" max="5"/>
    <col width="30" customWidth="1" min="6" max="6"/>
    <col width="30" customWidth="1" min="7" max="7"/>
  </cols>
  <sheetData>
    <row r="1">
      <c r="A1" s="1" t="inlineStr">
        <is>
          <t>VERDICT</t>
        </is>
      </c>
    </row>
    <row r="2">
      <c r="A2" t="inlineStr">
        <is>
          <t>Total checks</t>
        </is>
      </c>
      <c r="B2" t="n">
        <v>40</v>
      </c>
    </row>
    <row r="3">
      <c r="A3" t="inlineStr">
        <is>
          <t>PASS</t>
        </is>
      </c>
      <c r="B3">
        <f>COUNTIF(D9:D48,"PASS")</f>
        <v/>
      </c>
    </row>
    <row r="4">
      <c r="A4" t="inlineStr">
        <is>
          <t>FAIL</t>
        </is>
      </c>
      <c r="B4">
        <f>COUNTIF(D9:D48,"FAIL")</f>
        <v/>
      </c>
    </row>
    <row r="5">
      <c r="A5" t="inlineStr">
        <is>
          <t>BLOCK</t>
        </is>
      </c>
      <c r="B5">
        <f>COUNTIF(D9:D48,"BLOCK")</f>
        <v/>
      </c>
    </row>
    <row r="6">
      <c r="A6" t="inlineStr">
        <is>
          <t>N/A</t>
        </is>
      </c>
      <c r="B6">
        <f>COUNTIF(D9:D48,"N/A")</f>
        <v/>
      </c>
    </row>
    <row r="7">
      <c r="A7" t="inlineStr">
        <is>
          <t>VERDICT</t>
        </is>
      </c>
      <c r="B7" s="4">
        <f>IF(B5&gt;0,"NO-GO — blocking issues",IF(B4&gt;0,"HOLD — fix FAIL items first","GO — cleared to launch"))</f>
        <v/>
      </c>
    </row>
    <row r="8">
      <c r="A8" s="5" t="inlineStr">
        <is>
          <t>Gate</t>
        </is>
      </c>
      <c r="B8" s="5" t="inlineStr">
        <is>
          <t>Check</t>
        </is>
      </c>
      <c r="C8" s="5" t="inlineStr">
        <is>
          <t>#</t>
        </is>
      </c>
      <c r="D8" s="5" t="inlineStr">
        <is>
          <t>Status</t>
        </is>
      </c>
      <c r="E8" s="5" t="inlineStr">
        <is>
          <t>Owner</t>
        </is>
      </c>
      <c r="F8" s="5" t="inlineStr">
        <is>
          <t>Evidence</t>
        </is>
      </c>
      <c r="G8" s="5" t="inlineStr">
        <is>
          <t>Notes</t>
        </is>
      </c>
    </row>
    <row r="9" ht="30" customHeight="1">
      <c r="A9" s="6" t="inlineStr">
        <is>
          <t>Budget &amp; Pacing</t>
        </is>
      </c>
      <c r="B9" s="7" t="inlineStr">
        <is>
          <t>Daily budget entered matches the approved plan (not daily-vs-lifetime confused)</t>
        </is>
      </c>
      <c r="C9" s="6" t="n">
        <v>1</v>
      </c>
      <c r="D9" s="6" t="inlineStr">
        <is>
          <t>PASS</t>
        </is>
      </c>
      <c r="E9" s="6" t="n"/>
      <c r="F9" s="6" t="n"/>
      <c r="G9" s="6" t="n"/>
    </row>
    <row r="10" ht="30" customHeight="1">
      <c r="A10" s="6" t="inlineStr">
        <is>
          <t>Budget &amp; Pacing</t>
        </is>
      </c>
      <c r="B10" s="7" t="inlineStr">
        <is>
          <t>No extra zero / misplaced decimal in any budget field</t>
        </is>
      </c>
      <c r="C10" s="6" t="n">
        <v>2</v>
      </c>
      <c r="D10" s="6" t="inlineStr">
        <is>
          <t>BLOCK</t>
        </is>
      </c>
      <c r="E10" s="6" t="n"/>
      <c r="F10" s="6" t="inlineStr">
        <is>
          <t>Platform shows 4000, plan says 400 — screenshot 13 Mar</t>
        </is>
      </c>
      <c r="G10" s="6" t="n"/>
    </row>
    <row r="11" ht="30" customHeight="1">
      <c r="A11" s="6" t="inlineStr">
        <is>
          <t>Budget &amp; Pacing</t>
        </is>
      </c>
      <c r="B11" s="7" t="inlineStr">
        <is>
          <t>End date is set; campaign cannot run past the flight</t>
        </is>
      </c>
      <c r="C11" s="6" t="n">
        <v>3</v>
      </c>
      <c r="D11" s="6" t="inlineStr">
        <is>
          <t>PASS</t>
        </is>
      </c>
      <c r="E11" s="6" t="n"/>
      <c r="F11" s="6" t="n"/>
      <c r="G11" s="6" t="n"/>
    </row>
    <row r="12" ht="30" customHeight="1">
      <c r="A12" s="6" t="inlineStr">
        <is>
          <t>Budget &amp; Pacing</t>
        </is>
      </c>
      <c r="B12" s="7" t="inlineStr">
        <is>
          <t>Bid strategy matches the plan (no auto-bid switched on by accident)</t>
        </is>
      </c>
      <c r="C12" s="6" t="n">
        <v>4</v>
      </c>
      <c r="D12" s="6" t="inlineStr">
        <is>
          <t>PASS</t>
        </is>
      </c>
      <c r="E12" s="6" t="n"/>
      <c r="F12" s="6" t="n"/>
      <c r="G12" s="6" t="n"/>
    </row>
    <row r="13" ht="30" customHeight="1">
      <c r="A13" s="6" t="inlineStr">
        <is>
          <t>Budget &amp; Pacing</t>
        </is>
      </c>
      <c r="B13" s="7" t="inlineStr">
        <is>
          <t>Day-1 spend cap / alert is set so an error is caught within 24 hours</t>
        </is>
      </c>
      <c r="C13" s="6" t="n">
        <v>5</v>
      </c>
      <c r="D13" s="6" t="inlineStr">
        <is>
          <t>PASS</t>
        </is>
      </c>
      <c r="E13" s="6" t="n"/>
      <c r="F13" s="6" t="n"/>
      <c r="G13" s="6" t="n"/>
    </row>
    <row r="14" ht="30" customHeight="1">
      <c r="A14" s="6" t="inlineStr">
        <is>
          <t>Budget &amp; Pacing</t>
        </is>
      </c>
      <c r="B14" s="7" t="inlineStr">
        <is>
          <t>Total flight budget = daily budget x days (arithmetic checked, not eyeballed)</t>
        </is>
      </c>
      <c r="C14" s="6" t="n">
        <v>6</v>
      </c>
      <c r="D14" s="6" t="inlineStr">
        <is>
          <t>PASS</t>
        </is>
      </c>
      <c r="E14" s="6" t="n"/>
      <c r="F14" s="6" t="n"/>
      <c r="G14" s="6" t="n"/>
    </row>
    <row r="15" ht="30" customHeight="1">
      <c r="A15" s="6" t="inlineStr">
        <is>
          <t>Targeting &amp; Audience</t>
        </is>
      </c>
      <c r="B15" s="7" t="inlineStr">
        <is>
          <t>Geo-targeting matches the client's service area (not country-wide by default)</t>
        </is>
      </c>
      <c r="C15" s="6" t="n">
        <v>7</v>
      </c>
      <c r="D15" s="6" t="inlineStr">
        <is>
          <t>PASS</t>
        </is>
      </c>
      <c r="E15" s="6" t="n"/>
      <c r="F15" s="6" t="n"/>
      <c r="G15" s="6" t="n"/>
    </row>
    <row r="16" ht="30" customHeight="1">
      <c r="A16" s="6" t="inlineStr">
        <is>
          <t>Targeting &amp; Audience</t>
        </is>
      </c>
      <c r="B16" s="7" t="inlineStr">
        <is>
          <t>Audience / interests match the brief; no broad 'everyone' targeting on a small budget</t>
        </is>
      </c>
      <c r="C16" s="6" t="n">
        <v>8</v>
      </c>
      <c r="D16" s="6" t="inlineStr">
        <is>
          <t>PASS</t>
        </is>
      </c>
      <c r="E16" s="6" t="n"/>
      <c r="F16" s="6" t="n"/>
      <c r="G16" s="6" t="n"/>
    </row>
    <row r="17" ht="30" customHeight="1">
      <c r="A17" s="6" t="inlineStr">
        <is>
          <t>Targeting &amp; Audience</t>
        </is>
      </c>
      <c r="B17" s="7" t="inlineStr">
        <is>
          <t>Exclusions set: existing customers / converters / irrelevant segments excluded</t>
        </is>
      </c>
      <c r="C17" s="6" t="n">
        <v>9</v>
      </c>
      <c r="D17" s="6" t="inlineStr">
        <is>
          <t>PASS</t>
        </is>
      </c>
      <c r="E17" s="6" t="n"/>
      <c r="F17" s="6" t="n"/>
      <c r="G17" s="6" t="n"/>
    </row>
    <row r="18" ht="30" customHeight="1">
      <c r="A18" s="6" t="inlineStr">
        <is>
          <t>Targeting &amp; Audience</t>
        </is>
      </c>
      <c r="B18" s="7" t="inlineStr">
        <is>
          <t>No overlapping ad sets / audiences competing against each other</t>
        </is>
      </c>
      <c r="C18" s="6" t="n">
        <v>10</v>
      </c>
      <c r="D18" s="6" t="inlineStr">
        <is>
          <t>PASS</t>
        </is>
      </c>
      <c r="E18" s="6" t="n"/>
      <c r="F18" s="6" t="n"/>
      <c r="G18" s="6" t="n"/>
    </row>
    <row r="19" ht="30" customHeight="1">
      <c r="A19" s="6" t="inlineStr">
        <is>
          <t>Targeting &amp; Audience</t>
        </is>
      </c>
      <c r="B19" s="7" t="inlineStr">
        <is>
          <t>Device + placement settings match the plan (mobile/desktop split checked)</t>
        </is>
      </c>
      <c r="C19" s="6" t="n">
        <v>11</v>
      </c>
      <c r="D19" s="6" t="inlineStr">
        <is>
          <t>PASS</t>
        </is>
      </c>
      <c r="E19" s="6" t="n"/>
      <c r="F19" s="6" t="n"/>
      <c r="G19" s="6" t="n"/>
    </row>
    <row r="20" ht="30" customHeight="1">
      <c r="A20" s="6" t="inlineStr">
        <is>
          <t>Targeting &amp; Audience</t>
        </is>
      </c>
      <c r="B20" s="7" t="inlineStr">
        <is>
          <t>Language targeting matches the creative language</t>
        </is>
      </c>
      <c r="C20" s="6" t="n">
        <v>12</v>
      </c>
      <c r="D20" s="6" t="inlineStr">
        <is>
          <t>PASS</t>
        </is>
      </c>
      <c r="E20" s="6" t="n"/>
      <c r="F20" s="6" t="n"/>
      <c r="G20" s="6" t="n"/>
    </row>
    <row r="21" ht="30" customHeight="1">
      <c r="A21" s="6" t="inlineStr">
        <is>
          <t>Tracking &amp; UTM</t>
        </is>
      </c>
      <c r="B21" s="7" t="inlineStr">
        <is>
          <t>UTM source / medium / campaign present on every destination link</t>
        </is>
      </c>
      <c r="C21" s="6" t="n">
        <v>13</v>
      </c>
      <c r="D21" s="6" t="inlineStr">
        <is>
          <t>PASS</t>
        </is>
      </c>
      <c r="E21" s="6" t="n"/>
      <c r="F21" s="6" t="n"/>
      <c r="G21" s="6" t="n"/>
    </row>
    <row r="22" ht="30" customHeight="1">
      <c r="A22" s="6" t="inlineStr">
        <is>
          <t>Tracking &amp; UTM</t>
        </is>
      </c>
      <c r="B22" s="7" t="inlineStr">
        <is>
          <t>UTM values lowercase, dashes not underscores, no spaces (builder validated)</t>
        </is>
      </c>
      <c r="C22" s="6" t="n">
        <v>14</v>
      </c>
      <c r="D22" s="6" t="inlineStr">
        <is>
          <t>PASS</t>
        </is>
      </c>
      <c r="E22" s="6" t="n"/>
      <c r="F22" s="6" t="n"/>
      <c r="G22" s="6" t="n"/>
    </row>
    <row r="23" ht="30" customHeight="1">
      <c r="A23" s="6" t="inlineStr">
        <is>
          <t>Tracking &amp; UTM</t>
        </is>
      </c>
      <c r="B23" s="7" t="inlineStr">
        <is>
          <t>UTM campaign name matches the campaign — not a recycled name from an old campaign</t>
        </is>
      </c>
      <c r="C23" s="6" t="n">
        <v>15</v>
      </c>
      <c r="D23" s="6" t="inlineStr">
        <is>
          <t>FAIL</t>
        </is>
      </c>
      <c r="E23" s="6" t="n"/>
      <c r="F23" s="6" t="inlineStr">
        <is>
          <t>UTM reads spring-sale-2025, should be 2026</t>
        </is>
      </c>
      <c r="G23" s="6" t="n"/>
    </row>
    <row r="24" ht="30" customHeight="1">
      <c r="A24" s="6" t="inlineStr">
        <is>
          <t>Tracking &amp; UTM</t>
        </is>
      </c>
      <c r="B24" s="7" t="inlineStr">
        <is>
          <t>Conversion pixel / event fires on the real confirmation action (tested, not assumed)</t>
        </is>
      </c>
      <c r="C24" s="6" t="n">
        <v>16</v>
      </c>
      <c r="D24" s="6" t="inlineStr">
        <is>
          <t>PASS</t>
        </is>
      </c>
      <c r="E24" s="6" t="n"/>
      <c r="F24" s="6" t="n"/>
      <c r="G24" s="6" t="n"/>
    </row>
    <row r="25" ht="30" customHeight="1">
      <c r="A25" s="6" t="inlineStr">
        <is>
          <t>Tracking &amp; UTM</t>
        </is>
      </c>
      <c r="B25" s="7" t="inlineStr">
        <is>
          <t>Server-side events (CAPI) deduplicated against the pixel — no double counting</t>
        </is>
      </c>
      <c r="C25" s="6" t="n">
        <v>17</v>
      </c>
      <c r="D25" s="6" t="inlineStr">
        <is>
          <t>PASS</t>
        </is>
      </c>
      <c r="E25" s="6" t="n"/>
      <c r="F25" s="6" t="n"/>
      <c r="G25" s="6" t="n"/>
    </row>
    <row r="26" ht="30" customHeight="1">
      <c r="A26" s="6" t="inlineStr">
        <is>
          <t>Tracking &amp; UTM</t>
        </is>
      </c>
      <c r="B26" s="7" t="inlineStr">
        <is>
          <t>Consent gating verified where it applies: no pixel fires before consent</t>
        </is>
      </c>
      <c r="C26" s="6" t="n">
        <v>18</v>
      </c>
      <c r="D26" s="6" t="inlineStr">
        <is>
          <t>PASS</t>
        </is>
      </c>
      <c r="E26" s="6" t="n"/>
      <c r="F26" s="6" t="n"/>
      <c r="G26" s="6" t="n"/>
    </row>
    <row r="27" ht="30" customHeight="1">
      <c r="A27" s="6" t="inlineStr">
        <is>
          <t>Creative &amp; Copy</t>
        </is>
      </c>
      <c r="B27" s="7" t="inlineStr">
        <is>
          <t>Creative file is the APPROVED version (file name + version checked against sign-off)</t>
        </is>
      </c>
      <c r="C27" s="6" t="n">
        <v>19</v>
      </c>
      <c r="D27" s="6" t="inlineStr">
        <is>
          <t>PASS</t>
        </is>
      </c>
      <c r="E27" s="6" t="n"/>
      <c r="F27" s="6" t="n"/>
      <c r="G27" s="6" t="n"/>
    </row>
    <row r="28" ht="30" customHeight="1">
      <c r="A28" s="6" t="inlineStr">
        <is>
          <t>Creative &amp; Copy</t>
        </is>
      </c>
      <c r="B28" s="7" t="inlineStr">
        <is>
          <t>Headline / offer in the ad matches the landing page headline / offer</t>
        </is>
      </c>
      <c r="C28" s="6" t="n">
        <v>20</v>
      </c>
      <c r="D28" s="6" t="inlineStr">
        <is>
          <t>PASS</t>
        </is>
      </c>
      <c r="E28" s="6" t="n"/>
      <c r="F28" s="6" t="n"/>
      <c r="G28" s="6" t="n"/>
    </row>
    <row r="29" ht="30" customHeight="1">
      <c r="A29" s="6" t="inlineStr">
        <is>
          <t>Creative &amp; Copy</t>
        </is>
      </c>
      <c r="B29" s="7" t="inlineStr">
        <is>
          <t>No placeholder text, lorem ipsum, or wrong client name anywhere in copy</t>
        </is>
      </c>
      <c r="C29" s="6" t="n">
        <v>21</v>
      </c>
      <c r="D29" s="6" t="inlineStr">
        <is>
          <t>PASS</t>
        </is>
      </c>
      <c r="E29" s="6" t="n"/>
      <c r="F29" s="6" t="n"/>
      <c r="G29" s="6" t="n"/>
    </row>
    <row r="30" ht="30" customHeight="1">
      <c r="A30" s="6" t="inlineStr">
        <is>
          <t>Creative &amp; Copy</t>
        </is>
      </c>
      <c r="B30" s="7" t="inlineStr">
        <is>
          <t>Prices, dates, and promo terms in the ad match the approved offer</t>
        </is>
      </c>
      <c r="C30" s="6" t="n">
        <v>22</v>
      </c>
      <c r="D30" s="6" t="inlineStr">
        <is>
          <t>PASS</t>
        </is>
      </c>
      <c r="E30" s="6" t="n"/>
      <c r="F30" s="6" t="n"/>
      <c r="G30" s="6" t="n"/>
    </row>
    <row r="31" ht="30" customHeight="1">
      <c r="A31" s="6" t="inlineStr">
        <is>
          <t>Creative &amp; Copy</t>
        </is>
      </c>
      <c r="B31" s="7" t="inlineStr">
        <is>
          <t>Required disclaimers / #ad / paid-partnership labels present where required</t>
        </is>
      </c>
      <c r="C31" s="6" t="n">
        <v>23</v>
      </c>
      <c r="D31" s="6" t="inlineStr">
        <is>
          <t>PASS</t>
        </is>
      </c>
      <c r="E31" s="6" t="n"/>
      <c r="F31" s="6" t="n"/>
      <c r="G31" s="6" t="n"/>
    </row>
    <row r="32" ht="30" customHeight="1">
      <c r="A32" s="6" t="inlineStr">
        <is>
          <t>Creative &amp; Copy</t>
        </is>
      </c>
      <c r="B32" s="7" t="inlineStr">
        <is>
          <t>Creative renders correctly on mobile preview (no cropped text / cut-off CTA)</t>
        </is>
      </c>
      <c r="C32" s="6" t="n">
        <v>24</v>
      </c>
      <c r="D32" s="6" t="inlineStr">
        <is>
          <t>PASS</t>
        </is>
      </c>
      <c r="E32" s="6" t="n"/>
      <c r="F32" s="6" t="n"/>
      <c r="G32" s="6" t="n"/>
    </row>
    <row r="33" ht="30" customHeight="1">
      <c r="A33" s="6" t="inlineStr">
        <is>
          <t>Landing Page</t>
        </is>
      </c>
      <c r="B33" s="7" t="inlineStr">
        <is>
          <t>Destination URL is live and returns the intended page (clicked, not pasted-and-trusted)</t>
        </is>
      </c>
      <c r="C33" s="6" t="n">
        <v>25</v>
      </c>
      <c r="D33" s="6" t="inlineStr">
        <is>
          <t>PASS</t>
        </is>
      </c>
      <c r="E33" s="6" t="n"/>
      <c r="F33" s="6" t="n"/>
      <c r="G33" s="6" t="n"/>
    </row>
    <row r="34" ht="30" customHeight="1">
      <c r="A34" s="6" t="inlineStr">
        <is>
          <t>Landing Page</t>
        </is>
      </c>
      <c r="B34" s="7" t="inlineStr">
        <is>
          <t>Form submits end-to-end and the lead arrives in the right place with campaign context</t>
        </is>
      </c>
      <c r="C34" s="6" t="n">
        <v>26</v>
      </c>
      <c r="D34" s="6" t="inlineStr">
        <is>
          <t>BLOCK</t>
        </is>
      </c>
      <c r="E34" s="6" t="n"/>
      <c r="F34" s="6" t="inlineStr">
        <is>
          <t>Mobile submit does nothing — JS error, tested 13 Mar</t>
        </is>
      </c>
      <c r="G34" s="6" t="n"/>
    </row>
    <row r="35" ht="30" customHeight="1">
      <c r="A35" s="6" t="inlineStr">
        <is>
          <t>Landing Page</t>
        </is>
      </c>
      <c r="B35" s="7" t="inlineStr">
        <is>
          <t>Thank-you page loads and fires the conversion event</t>
        </is>
      </c>
      <c r="C35" s="6" t="n">
        <v>27</v>
      </c>
      <c r="D35" s="6" t="inlineStr">
        <is>
          <t>PASS</t>
        </is>
      </c>
      <c r="E35" s="6" t="n"/>
      <c r="F35" s="6" t="n"/>
      <c r="G35" s="6" t="n"/>
    </row>
    <row r="36" ht="30" customHeight="1">
      <c r="A36" s="6" t="inlineStr">
        <is>
          <t>Landing Page</t>
        </is>
      </c>
      <c r="B36" s="7" t="inlineStr">
        <is>
          <t>Page loads in under ~3 seconds on mobile (no giant uncompressed hero image)</t>
        </is>
      </c>
      <c r="C36" s="6" t="n">
        <v>28</v>
      </c>
      <c r="D36" s="6" t="inlineStr">
        <is>
          <t>PASS</t>
        </is>
      </c>
      <c r="E36" s="6" t="n"/>
      <c r="F36" s="6" t="n"/>
      <c r="G36" s="6" t="n"/>
    </row>
    <row r="37" ht="30" customHeight="1">
      <c r="A37" s="6" t="inlineStr">
        <is>
          <t>Landing Page</t>
        </is>
      </c>
      <c r="B37" s="7" t="inlineStr">
        <is>
          <t>CTA button works on mobile — visible, tappable, goes to the right action</t>
        </is>
      </c>
      <c r="C37" s="6" t="n">
        <v>29</v>
      </c>
      <c r="D37" s="6" t="inlineStr">
        <is>
          <t>PASS</t>
        </is>
      </c>
      <c r="E37" s="6" t="n"/>
      <c r="F37" s="6" t="n"/>
      <c r="G37" s="6" t="n"/>
    </row>
    <row r="38" ht="30" customHeight="1">
      <c r="A38" s="6" t="inlineStr">
        <is>
          <t>Landing Page</t>
        </is>
      </c>
      <c r="B38" s="7" t="inlineStr">
        <is>
          <t>No broken links, missing images, or wrong phone number / email on the page</t>
        </is>
      </c>
      <c r="C38" s="6" t="n">
        <v>30</v>
      </c>
      <c r="D38" s="6" t="inlineStr">
        <is>
          <t>PASS</t>
        </is>
      </c>
      <c r="E38" s="6" t="n"/>
      <c r="F38" s="6" t="n"/>
      <c r="G38" s="6" t="n"/>
    </row>
    <row r="39" ht="30" customHeight="1">
      <c r="A39" s="6" t="inlineStr">
        <is>
          <t>Approvals &amp; Compliance</t>
        </is>
      </c>
      <c r="B39" s="7" t="inlineStr">
        <is>
          <t>Client sign-off on file for THIS campaign (not a verbal 'go ahead')</t>
        </is>
      </c>
      <c r="C39" s="6" t="n">
        <v>31</v>
      </c>
      <c r="D39" s="6" t="inlineStr">
        <is>
          <t>PASS</t>
        </is>
      </c>
      <c r="E39" s="6" t="n"/>
      <c r="F39" s="6" t="n"/>
      <c r="G39" s="6" t="n"/>
    </row>
    <row r="40" ht="30" customHeight="1">
      <c r="A40" s="6" t="inlineStr">
        <is>
          <t>Approvals &amp; Compliance</t>
        </is>
      </c>
      <c r="B40" s="7" t="inlineStr">
        <is>
          <t>Sign-off covers the exact creative + budget + dates being launched</t>
        </is>
      </c>
      <c r="C40" s="6" t="n">
        <v>32</v>
      </c>
      <c r="D40" s="6" t="inlineStr">
        <is>
          <t>PASS</t>
        </is>
      </c>
      <c r="E40" s="6" t="n"/>
      <c r="F40" s="6" t="n"/>
      <c r="G40" s="6" t="n"/>
    </row>
    <row r="41" ht="30" customHeight="1">
      <c r="A41" s="6" t="inlineStr">
        <is>
          <t>Approvals &amp; Compliance</t>
        </is>
      </c>
      <c r="B41" s="7" t="inlineStr">
        <is>
          <t>No claims in copy the client cannot support (guarantees, awards, results)</t>
        </is>
      </c>
      <c r="C41" s="6" t="n">
        <v>33</v>
      </c>
      <c r="D41" s="6" t="inlineStr">
        <is>
          <t>PASS</t>
        </is>
      </c>
      <c r="E41" s="6" t="n"/>
      <c r="F41" s="6" t="n"/>
      <c r="G41" s="6" t="n"/>
    </row>
    <row r="42" ht="30" customHeight="1">
      <c r="A42" s="6" t="inlineStr">
        <is>
          <t>Approvals &amp; Compliance</t>
        </is>
      </c>
      <c r="B42" s="7" t="inlineStr">
        <is>
          <t>Brand assets used are the client's current ones (logo, colors, legal name)</t>
        </is>
      </c>
      <c r="C42" s="6" t="n">
        <v>34</v>
      </c>
      <c r="D42" s="6" t="inlineStr">
        <is>
          <t>PASS</t>
        </is>
      </c>
      <c r="E42" s="6" t="n"/>
      <c r="F42" s="6" t="n"/>
      <c r="G42" s="6" t="n"/>
    </row>
    <row r="43" ht="30" customHeight="1">
      <c r="A43" s="6" t="inlineStr">
        <is>
          <t>Approvals &amp; Compliance</t>
        </is>
      </c>
      <c r="B43" s="7" t="inlineStr">
        <is>
          <t>Two-person check done: one person built, a different person checked</t>
        </is>
      </c>
      <c r="C43" s="6" t="n">
        <v>35</v>
      </c>
      <c r="D43" s="6" t="inlineStr">
        <is>
          <t>PASS</t>
        </is>
      </c>
      <c r="E43" s="6" t="n"/>
      <c r="F43" s="6" t="n"/>
      <c r="G43" s="6" t="n"/>
    </row>
    <row r="44" ht="30" customHeight="1">
      <c r="A44" s="6" t="inlineStr">
        <is>
          <t>Post-Launch Controls</t>
        </is>
      </c>
      <c r="B44" s="7" t="inlineStr">
        <is>
          <t>Day-1 check scheduled: spend + delivery reviewed within 24 hours of launch</t>
        </is>
      </c>
      <c r="C44" s="6" t="n">
        <v>36</v>
      </c>
      <c r="D44" s="6" t="inlineStr">
        <is>
          <t>PASS</t>
        </is>
      </c>
      <c r="E44" s="6" t="n"/>
      <c r="F44" s="6" t="n"/>
      <c r="G44" s="6" t="n"/>
    </row>
    <row r="45" ht="30" customHeight="1">
      <c r="A45" s="6" t="inlineStr">
        <is>
          <t>Post-Launch Controls</t>
        </is>
      </c>
      <c r="B45" s="7" t="inlineStr">
        <is>
          <t>Kill-switch owner named: who pauses the campaign if spend spikes</t>
        </is>
      </c>
      <c r="C45" s="6" t="n">
        <v>37</v>
      </c>
      <c r="D45" s="6" t="inlineStr">
        <is>
          <t>PASS</t>
        </is>
      </c>
      <c r="E45" s="6" t="n"/>
      <c r="F45" s="6" t="n"/>
      <c r="G45" s="6" t="n"/>
    </row>
    <row r="46" ht="30" customHeight="1">
      <c r="A46" s="6" t="inlineStr">
        <is>
          <t>Post-Launch Controls</t>
        </is>
      </c>
      <c r="B46" s="7" t="inlineStr">
        <is>
          <t>Reporting owner + cadence set (who sees the numbers, how often)</t>
        </is>
      </c>
      <c r="C46" s="6" t="n">
        <v>38</v>
      </c>
      <c r="D46" s="6" t="inlineStr">
        <is>
          <t>PASS</t>
        </is>
      </c>
      <c r="E46" s="6" t="n"/>
      <c r="F46" s="6" t="n"/>
      <c r="G46" s="6" t="n"/>
    </row>
    <row r="47" ht="30" customHeight="1">
      <c r="A47" s="6" t="inlineStr">
        <is>
          <t>Post-Launch Controls</t>
        </is>
      </c>
      <c r="B47" s="7" t="inlineStr">
        <is>
          <t>Incident log ready: any error gets logged with spend-at-risk, not hidden</t>
        </is>
      </c>
      <c r="C47" s="6" t="n">
        <v>39</v>
      </c>
      <c r="D47" s="6" t="inlineStr">
        <is>
          <t>PASS</t>
        </is>
      </c>
      <c r="E47" s="6" t="n"/>
      <c r="F47" s="6" t="n"/>
      <c r="G47" s="6" t="n"/>
    </row>
    <row r="48" ht="30" customHeight="1">
      <c r="A48" s="6" t="inlineStr">
        <is>
          <t>Post-Launch Controls</t>
        </is>
      </c>
      <c r="B48" s="7" t="inlineStr">
        <is>
          <t>End-of-flight review date set (what worked, what broke, what changes)</t>
        </is>
      </c>
      <c r="C48" s="6" t="n">
        <v>40</v>
      </c>
      <c r="D48" s="6" t="inlineStr">
        <is>
          <t>PASS</t>
        </is>
      </c>
      <c r="E48" s="6" t="n"/>
      <c r="F48" s="6" t="n"/>
      <c r="G48" s="6" t="n"/>
    </row>
  </sheetData>
  <dataValidations count="1">
    <dataValidation sqref="D9 D10 D11 D12 D13 D14 D15 D16 D17 D18 D19 D20 D21 D22 D23 D24 D25 D26 D27 D28 D29 D30 D31 D32 D33 D34 D35 D36 D37 D38 D39 D40 D41 D42 D43 D44 D45 D46 D47 D48" showDropDown="0" showInputMessage="0" showErrorMessage="0" allowBlank="0" error="Use PASS, FAIL, BLOCK, or N/A" prompt="PASS, FAIL, BLOCK, or N/A" type="list">
      <formula1>"PASS,FAIL,BLOCK,N/A"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B20"/>
  <sheetViews>
    <sheetView workbookViewId="0">
      <selection activeCell="A1" sqref="A1"/>
    </sheetView>
  </sheetViews>
  <sheetFormatPr baseColWidth="8" defaultRowHeight="15"/>
  <cols>
    <col width="52" customWidth="1" min="1" max="1"/>
    <col width="22" customWidth="1" min="2" max="2"/>
  </cols>
  <sheetData>
    <row r="1">
      <c r="A1" s="1" t="inlineStr">
        <is>
          <t>BUDGET &amp; PACING — planned vs entered</t>
        </is>
      </c>
    </row>
    <row r="3">
      <c r="A3" s="2" t="inlineStr">
        <is>
          <t>INPUTS (yellow = type here)</t>
        </is>
      </c>
    </row>
    <row r="4">
      <c r="A4" t="inlineStr">
        <is>
          <t>Planned daily budget (approved plan)</t>
        </is>
      </c>
      <c r="B4" s="8" t="n">
        <v>400</v>
      </c>
    </row>
    <row r="5">
      <c r="A5" t="inlineStr">
        <is>
          <t>Daily budget actually ENTERED in the platform</t>
        </is>
      </c>
      <c r="B5" s="8" t="n">
        <v>4000</v>
      </c>
    </row>
    <row r="6">
      <c r="A6" t="inlineStr">
        <is>
          <t>Days before anyone notices the error</t>
        </is>
      </c>
      <c r="B6" s="8" t="n">
        <v>2</v>
      </c>
    </row>
    <row r="7">
      <c r="A7" t="inlineStr">
        <is>
          <t>Flight length (days)</t>
        </is>
      </c>
      <c r="B7" s="8" t="n">
        <v>30</v>
      </c>
    </row>
    <row r="8">
      <c r="A8" t="inlineStr">
        <is>
          <t>Total flight budget approved</t>
        </is>
      </c>
      <c r="B8" s="8" t="n">
        <v>12000</v>
      </c>
    </row>
    <row r="9">
      <c r="A9" t="inlineStr">
        <is>
          <t>Spend so far (from the platform)</t>
        </is>
      </c>
      <c r="B9" s="8" t="n">
        <v>0</v>
      </c>
    </row>
    <row r="10">
      <c r="A10" t="inlineStr">
        <is>
          <t>Days elapsed</t>
        </is>
      </c>
      <c r="B10" s="8" t="n">
        <v>0</v>
      </c>
    </row>
    <row r="12">
      <c r="A12" s="2" t="inlineStr">
        <is>
          <t>COMPUTED — do not type here</t>
        </is>
      </c>
    </row>
    <row r="13">
      <c r="A13" t="inlineStr">
        <is>
          <t>Entered minus planned (per day)</t>
        </is>
      </c>
      <c r="B13" s="9">
        <f>B5-B4</f>
        <v/>
      </c>
    </row>
    <row r="14">
      <c r="A14" t="inlineStr">
        <is>
          <t>Spend at risk if unnoticed (per-day error x days)</t>
        </is>
      </c>
      <c r="B14" s="9">
        <f>B13*B6</f>
        <v/>
      </c>
    </row>
    <row r="15">
      <c r="A15" t="inlineStr">
        <is>
          <t>Planned spend to date</t>
        </is>
      </c>
      <c r="B15" s="9">
        <f>B4*B10</f>
        <v/>
      </c>
    </row>
    <row r="16">
      <c r="A16" t="inlineStr">
        <is>
          <t>Pacing: spend so far vs planned to date</t>
        </is>
      </c>
      <c r="B16" s="10">
        <f>IF(B15=0,"—",B9/B15)</f>
        <v/>
      </c>
    </row>
    <row r="17">
      <c r="A17" t="inlineStr">
        <is>
          <t>Remaining flight budget</t>
        </is>
      </c>
      <c r="B17" s="9">
        <f>B8-B9</f>
        <v/>
      </c>
    </row>
    <row r="18">
      <c r="A18" t="inlineStr">
        <is>
          <t>Status</t>
        </is>
      </c>
      <c r="B18" s="11">
        <f>IF(B14&gt;0,"DANGER — entered budget is ABOVE plan",IF(B5&lt;&gt;B4,"CHECK — entered differs from plan","OK — entered matches plan"))</f>
        <v/>
      </c>
    </row>
    <row r="20">
      <c r="A20" s="3" t="inlineStr">
        <is>
          <t>Read the Status cell before launch. An entered budget above plan is the classic extra-zero error: it looks small on screen and costs thousands in days.</t>
        </is>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F25"/>
  <sheetViews>
    <sheetView workbookViewId="0">
      <selection activeCell="A1" sqref="A1"/>
    </sheetView>
  </sheetViews>
  <sheetFormatPr baseColWidth="8" defaultRowHeight="15"/>
  <cols>
    <col width="46" customWidth="1" min="1" max="1"/>
    <col width="46" customWidth="1" min="2" max="2"/>
    <col width="16" customWidth="1" min="3" max="3"/>
    <col width="24" customWidth="1" min="4" max="4"/>
    <col width="16" customWidth="1" min="5" max="5"/>
    <col width="14" customWidth="1" min="6" max="6"/>
  </cols>
  <sheetData>
    <row r="1">
      <c r="A1" s="1" t="inlineStr">
        <is>
          <t>TRACKING &amp; UTM BUILDER</t>
        </is>
      </c>
    </row>
    <row r="3">
      <c r="A3" s="2" t="inlineStr">
        <is>
          <t>INPUTS (yellow = type here)</t>
        </is>
      </c>
    </row>
    <row r="4">
      <c r="A4" t="inlineStr">
        <is>
          <t>Landing page base URL</t>
        </is>
      </c>
      <c r="B4" s="12" t="inlineStr">
        <is>
          <t>https://example.com/offer</t>
        </is>
      </c>
    </row>
    <row r="5">
      <c r="A5" t="inlineStr">
        <is>
          <t>utm_source</t>
        </is>
      </c>
      <c r="B5" s="12" t="inlineStr">
        <is>
          <t>meta</t>
        </is>
      </c>
    </row>
    <row r="6">
      <c r="A6" t="inlineStr">
        <is>
          <t>utm_medium</t>
        </is>
      </c>
      <c r="B6" s="12" t="inlineStr">
        <is>
          <t>cpc</t>
        </is>
      </c>
    </row>
    <row r="7">
      <c r="A7" t="inlineStr">
        <is>
          <t>utm_campaign</t>
        </is>
      </c>
      <c r="B7" s="12" t="inlineStr">
        <is>
          <t>spring-sale-2026</t>
        </is>
      </c>
    </row>
    <row r="8">
      <c r="A8" t="inlineStr">
        <is>
          <t>utm_content (ad variant, optional)</t>
        </is>
      </c>
      <c r="B8" s="12" t="inlineStr">
        <is>
          <t>carousel-a</t>
        </is>
      </c>
    </row>
    <row r="9">
      <c r="A9" t="inlineStr">
        <is>
          <t>utm_term (keyword, optional)</t>
        </is>
      </c>
      <c r="B9" s="12" t="inlineStr"/>
    </row>
    <row r="11">
      <c r="A11" s="2" t="inlineStr">
        <is>
          <t>BUILT URL (formula — copy this into the ad)</t>
        </is>
      </c>
    </row>
    <row r="12" ht="45" customHeight="1">
      <c r="A12" s="3">
        <f>B4&amp;"?utm_source="&amp;LOWER(B5)&amp;"&amp;utm_medium="&amp;LOWER(B6)&amp;"&amp;utm_campaign="&amp;LOWER(SUBSTITUTE(B7," ","-"))&amp;IF(B8="","","&amp;utm_content="&amp;LOWER(SUBSTITUTE(B8," ","-")))&amp;IF(B9="","","&amp;utm_term="&amp;LOWER(SUBSTITUTE(B9," ","-")))</f>
        <v/>
      </c>
    </row>
    <row r="14">
      <c r="A14" s="2" t="inlineStr">
        <is>
          <t>VALIDATION</t>
        </is>
      </c>
    </row>
    <row r="15">
      <c r="A15" t="inlineStr">
        <is>
          <t>No spaces anywhere in UTM values</t>
        </is>
      </c>
      <c r="B15">
        <f>IF(ISNUMBER(SEARCH(" ",B5&amp;B6&amp;B7&amp;B8&amp;B9)),"FAIL — spaces found","PASS")</f>
        <v/>
      </c>
    </row>
    <row r="16">
      <c r="A16" t="inlineStr">
        <is>
          <t>All lowercase (builder forces it)</t>
        </is>
      </c>
      <c r="B16">
        <f>IF(EXACT(B5,LOWER(B5))*EXACT(B6,LOWER(B6))*EXACT(B7,LOWER(B7))=1,"PASS","CHECK — mixed case typed")</f>
        <v/>
      </c>
    </row>
    <row r="17">
      <c r="A17" t="inlineStr">
        <is>
          <t>Campaign name is not a recycled old name</t>
        </is>
      </c>
      <c r="B17" t="inlineStr">
        <is>
          <t>MANUAL — compare against last campaign's name</t>
        </is>
      </c>
    </row>
    <row r="18">
      <c r="A18" t="inlineStr">
        <is>
          <t>Base URL is live (click it, do not trust paste)</t>
        </is>
      </c>
      <c r="B18" t="inlineStr">
        <is>
          <t>MANUAL — click and confirm the page loads</t>
        </is>
      </c>
    </row>
    <row r="20">
      <c r="A20" s="2" t="inlineStr">
        <is>
          <t>PIXEL / EVENT TEST LOG — one row per conversion event</t>
        </is>
      </c>
    </row>
    <row r="21">
      <c r="A21" s="5" t="inlineStr">
        <is>
          <t>Event name</t>
        </is>
      </c>
      <c r="B21" s="5" t="inlineStr">
        <is>
          <t>Page / trigger</t>
        </is>
      </c>
      <c r="C21" s="5" t="inlineStr">
        <is>
          <t>Fired? (Y/N)</t>
        </is>
      </c>
      <c r="D21" s="5" t="inlineStr">
        <is>
          <t>Method (pixel / CAPI / both)</t>
        </is>
      </c>
      <c r="E21" s="5" t="inlineStr">
        <is>
          <t>Tested by</t>
        </is>
      </c>
      <c r="F21" s="5" t="inlineStr">
        <is>
          <t>Date</t>
        </is>
      </c>
    </row>
    <row r="22">
      <c r="A22" s="6" t="n"/>
      <c r="B22" s="6" t="n"/>
      <c r="C22" s="6" t="n"/>
      <c r="D22" s="6" t="n"/>
      <c r="E22" s="6" t="n"/>
      <c r="F22" s="6" t="n"/>
    </row>
    <row r="23">
      <c r="A23" s="6" t="n"/>
      <c r="B23" s="6" t="n"/>
      <c r="C23" s="6" t="n"/>
      <c r="D23" s="6" t="n"/>
      <c r="E23" s="6" t="n"/>
      <c r="F23" s="6" t="n"/>
    </row>
    <row r="24">
      <c r="A24" s="6" t="n"/>
      <c r="B24" s="6" t="n"/>
      <c r="C24" s="6" t="n"/>
      <c r="D24" s="6" t="n"/>
      <c r="E24" s="6" t="n"/>
      <c r="F24" s="6" t="n"/>
    </row>
    <row r="25">
      <c r="A25" s="6" t="n"/>
      <c r="B25" s="6" t="n"/>
      <c r="C25" s="6" t="n"/>
      <c r="D25" s="6" t="n"/>
      <c r="E25" s="6" t="n"/>
      <c r="F25" s="6" t="n"/>
    </row>
  </sheetData>
  <mergeCells count="1">
    <mergeCell ref="A12:B12"/>
  </mergeCell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J13"/>
  <sheetViews>
    <sheetView workbookViewId="0">
      <pane ySplit="3" topLeftCell="A4" activePane="bottomLeft" state="frozen"/>
      <selection pane="bottomLeft" activeCell="A1" sqref="A1"/>
    </sheetView>
  </sheetViews>
  <sheetFormatPr baseColWidth="8" defaultRowHeight="15"/>
  <cols>
    <col width="13" customWidth="1" min="1" max="1"/>
    <col width="30" customWidth="1" min="2" max="2"/>
    <col width="26" customWidth="1" min="3" max="3"/>
    <col width="18" customWidth="1" min="4" max="4"/>
    <col width="13" customWidth="1" min="5" max="5"/>
    <col width="16" customWidth="1" min="6" max="6"/>
    <col width="16" customWidth="1" min="7" max="7"/>
    <col width="26" customWidth="1" min="8" max="8"/>
    <col width="34" customWidth="1" min="9" max="9"/>
    <col width="30" customWidth="1" min="10" max="10"/>
  </cols>
  <sheetData>
    <row r="1">
      <c r="A1" s="1" t="inlineStr">
        <is>
          <t>INCIDENT LOG — every error gets logged, never hidden</t>
        </is>
      </c>
    </row>
    <row r="3">
      <c r="A3" s="5" t="inlineStr">
        <is>
          <t>Date found</t>
        </is>
      </c>
      <c r="B3" s="5" t="inlineStr">
        <is>
          <t>Campaign</t>
        </is>
      </c>
      <c r="C3" s="5" t="inlineStr">
        <is>
          <t>Error type</t>
        </is>
      </c>
      <c r="D3" s="5" t="inlineStr">
        <is>
          <t>Found by</t>
        </is>
      </c>
      <c r="E3" s="5" t="inlineStr">
        <is>
          <t>Days unnoticed</t>
        </is>
      </c>
      <c r="F3" s="5" t="inlineStr">
        <is>
          <t>Daily budget at stake</t>
        </is>
      </c>
      <c r="G3" s="5" t="inlineStr">
        <is>
          <t>Spend at risk (formula)</t>
        </is>
      </c>
      <c r="H3" s="5" t="inlineStr">
        <is>
          <t>Make-good / credit given</t>
        </is>
      </c>
      <c r="I3" s="5" t="inlineStr">
        <is>
          <t>Root cause</t>
        </is>
      </c>
      <c r="J3" s="5" t="inlineStr">
        <is>
          <t>Fix applied</t>
        </is>
      </c>
    </row>
    <row r="4">
      <c r="A4" s="3" t="inlineStr">
        <is>
          <t>2026-03-10</t>
        </is>
      </c>
      <c r="B4" s="3" t="inlineStr">
        <is>
          <t>Harbor &amp; Pine — Spring Trail Sale (EXAMPLE)</t>
        </is>
      </c>
      <c r="C4" s="3" t="inlineStr">
        <is>
          <t>Budget — extra zero entered</t>
        </is>
      </c>
      <c r="D4" s="3" t="inlineStr">
        <is>
          <t>Checker (second person)</t>
        </is>
      </c>
      <c r="E4" s="13" t="n">
        <v>2</v>
      </c>
      <c r="F4" s="13" t="n">
        <v>4000</v>
      </c>
      <c r="G4" s="13">
        <f>E4*F4</f>
        <v/>
      </c>
      <c r="H4" s="3" t="inlineStr">
        <is>
          <t>2 days of management fee credited</t>
        </is>
      </c>
      <c r="I4" s="3" t="inlineStr">
        <is>
          <t>Builder typed 4000 instead of 400; checker caught it on day-1 review</t>
        </is>
      </c>
      <c r="J4" s="3" t="inlineStr">
        <is>
          <t>Budget corrected; day-1 cap set</t>
        </is>
      </c>
    </row>
    <row r="5">
      <c r="A5" s="6" t="n"/>
      <c r="B5" s="6" t="n"/>
      <c r="C5" s="6" t="n"/>
      <c r="D5" s="6" t="n"/>
      <c r="E5" s="6" t="n"/>
      <c r="F5" s="6" t="n"/>
      <c r="G5" s="14">
        <f>IF(E5="","",E5*F5)</f>
        <v/>
      </c>
      <c r="H5" s="6" t="n"/>
      <c r="I5" s="6" t="n"/>
      <c r="J5" s="6" t="n"/>
    </row>
    <row r="6">
      <c r="A6" s="6" t="n"/>
      <c r="B6" s="6" t="n"/>
      <c r="C6" s="6" t="n"/>
      <c r="D6" s="6" t="n"/>
      <c r="E6" s="6" t="n"/>
      <c r="F6" s="6" t="n"/>
      <c r="G6" s="14">
        <f>IF(E6="","",E6*F6)</f>
        <v/>
      </c>
      <c r="H6" s="6" t="n"/>
      <c r="I6" s="6" t="n"/>
      <c r="J6" s="6" t="n"/>
    </row>
    <row r="7">
      <c r="A7" s="6" t="n"/>
      <c r="B7" s="6" t="n"/>
      <c r="C7" s="6" t="n"/>
      <c r="D7" s="6" t="n"/>
      <c r="E7" s="6" t="n"/>
      <c r="F7" s="6" t="n"/>
      <c r="G7" s="14">
        <f>IF(E7="","",E7*F7)</f>
        <v/>
      </c>
      <c r="H7" s="6" t="n"/>
      <c r="I7" s="6" t="n"/>
      <c r="J7" s="6" t="n"/>
    </row>
    <row r="8">
      <c r="A8" s="6" t="n"/>
      <c r="B8" s="6" t="n"/>
      <c r="C8" s="6" t="n"/>
      <c r="D8" s="6" t="n"/>
      <c r="E8" s="6" t="n"/>
      <c r="F8" s="6" t="n"/>
      <c r="G8" s="14">
        <f>IF(E8="","",E8*F8)</f>
        <v/>
      </c>
      <c r="H8" s="6" t="n"/>
      <c r="I8" s="6" t="n"/>
      <c r="J8" s="6" t="n"/>
    </row>
    <row r="9">
      <c r="A9" s="6" t="n"/>
      <c r="B9" s="6" t="n"/>
      <c r="C9" s="6" t="n"/>
      <c r="D9" s="6" t="n"/>
      <c r="E9" s="6" t="n"/>
      <c r="F9" s="6" t="n"/>
      <c r="G9" s="14">
        <f>IF(E9="","",E9*F9)</f>
        <v/>
      </c>
      <c r="H9" s="6" t="n"/>
      <c r="I9" s="6" t="n"/>
      <c r="J9" s="6" t="n"/>
    </row>
    <row r="10">
      <c r="A10" s="6" t="n"/>
      <c r="B10" s="6" t="n"/>
      <c r="C10" s="6" t="n"/>
      <c r="D10" s="6" t="n"/>
      <c r="E10" s="6" t="n"/>
      <c r="F10" s="6" t="n"/>
      <c r="G10" s="14">
        <f>IF(E10="","",E10*F10)</f>
        <v/>
      </c>
      <c r="H10" s="6" t="n"/>
      <c r="I10" s="6" t="n"/>
      <c r="J10" s="6" t="n"/>
    </row>
    <row r="11">
      <c r="A11" s="6" t="n"/>
      <c r="B11" s="6" t="n"/>
      <c r="C11" s="6" t="n"/>
      <c r="D11" s="6" t="n"/>
      <c r="E11" s="6" t="n"/>
      <c r="F11" s="6" t="n"/>
      <c r="G11" s="14">
        <f>IF(E11="","",E11*F11)</f>
        <v/>
      </c>
      <c r="H11" s="6" t="n"/>
      <c r="I11" s="6" t="n"/>
      <c r="J11" s="6" t="n"/>
    </row>
    <row r="12">
      <c r="A12" s="6" t="n"/>
      <c r="B12" s="6" t="n"/>
      <c r="C12" s="6" t="n"/>
      <c r="D12" s="6" t="n"/>
      <c r="E12" s="6" t="n"/>
      <c r="F12" s="6" t="n"/>
      <c r="G12" s="14">
        <f>IF(E12="","",E12*F12)</f>
        <v/>
      </c>
      <c r="H12" s="6" t="n"/>
      <c r="I12" s="6" t="n"/>
      <c r="J12" s="6" t="n"/>
    </row>
    <row r="13">
      <c r="A13" s="6" t="n"/>
      <c r="B13" s="6" t="n"/>
      <c r="C13" s="6" t="n"/>
      <c r="D13" s="6" t="n"/>
      <c r="E13" s="6" t="n"/>
      <c r="F13" s="6" t="n"/>
      <c r="G13" s="14">
        <f>IF(E13="","",E13*F13)</f>
        <v/>
      </c>
      <c r="H13" s="6" t="n"/>
      <c r="I13" s="6" t="n"/>
      <c r="J13" s="6" t="n"/>
    </row>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B18"/>
  <sheetViews>
    <sheetView workbookViewId="0">
      <selection activeCell="A1" sqref="A1"/>
    </sheetView>
  </sheetViews>
  <sheetFormatPr baseColWidth="8" defaultRowHeight="15"/>
  <cols>
    <col width="32" customWidth="1" min="1" max="1"/>
    <col width="44" customWidth="1" min="2" max="2"/>
  </cols>
  <sheetData>
    <row r="1">
      <c r="A1" s="1" t="inlineStr">
        <is>
          <t>CLIENT SIGN-OFF — no launch without this</t>
        </is>
      </c>
    </row>
    <row r="3">
      <c r="A3" t="inlineStr">
        <is>
          <t>Campaign name</t>
        </is>
      </c>
      <c r="B3" s="12" t="inlineStr">
        <is>
          <t>Harbor &amp; Pine — Spring Trail Sale</t>
        </is>
      </c>
    </row>
    <row r="4">
      <c r="A4" t="inlineStr">
        <is>
          <t>Client</t>
        </is>
      </c>
      <c r="B4" s="12" t="inlineStr">
        <is>
          <t>Harbor &amp; Pine Outfitters</t>
        </is>
      </c>
    </row>
    <row r="5">
      <c r="A5" t="inlineStr">
        <is>
          <t>Approver name</t>
        </is>
      </c>
      <c r="B5" s="12" t="inlineStr">
        <is>
          <t>M. Okafor (client marketing lead)</t>
        </is>
      </c>
    </row>
    <row r="6">
      <c r="A6" t="inlineStr">
        <is>
          <t>Approval date</t>
        </is>
      </c>
      <c r="B6" s="12" t="inlineStr">
        <is>
          <t>2026-03-12</t>
        </is>
      </c>
    </row>
    <row r="7">
      <c r="A7" t="inlineStr">
        <is>
          <t>Flight dates</t>
        </is>
      </c>
      <c r="B7" s="12" t="inlineStr">
        <is>
          <t>2026-03-16 to 2026-04-14</t>
        </is>
      </c>
    </row>
    <row r="8">
      <c r="A8" t="inlineStr">
        <is>
          <t>Total flight budget approved</t>
        </is>
      </c>
      <c r="B8" s="12" t="n">
        <v>12000</v>
      </c>
    </row>
    <row r="9">
      <c r="A9" t="inlineStr">
        <is>
          <t>Platform(s)</t>
        </is>
      </c>
      <c r="B9" s="12" t="inlineStr">
        <is>
          <t>Meta (Facebook + Instagram)</t>
        </is>
      </c>
    </row>
    <row r="10">
      <c r="A10" s="2" t="inlineStr">
        <is>
          <t>Approved items (Y/N)</t>
        </is>
      </c>
    </row>
    <row r="11">
      <c r="A11" t="inlineStr">
        <is>
          <t>Creative version approved</t>
        </is>
      </c>
      <c r="B11" s="12" t="inlineStr">
        <is>
          <t>Y</t>
        </is>
      </c>
    </row>
    <row r="12">
      <c r="A12" t="inlineStr">
        <is>
          <t>Budget approved</t>
        </is>
      </c>
      <c r="B12" s="12" t="inlineStr">
        <is>
          <t>Y</t>
        </is>
      </c>
    </row>
    <row r="13">
      <c r="A13" t="inlineStr">
        <is>
          <t>Dates approved</t>
        </is>
      </c>
      <c r="B13" s="12" t="inlineStr">
        <is>
          <t>Y</t>
        </is>
      </c>
    </row>
    <row r="14">
      <c r="A14" t="inlineStr">
        <is>
          <t>Targeting approved</t>
        </is>
      </c>
      <c r="B14" s="12" t="inlineStr">
        <is>
          <t>Y</t>
        </is>
      </c>
    </row>
    <row r="15">
      <c r="A15" t="inlineStr">
        <is>
          <t>Landing page approved</t>
        </is>
      </c>
      <c r="B15" s="12" t="inlineStr">
        <is>
          <t>Y</t>
        </is>
      </c>
    </row>
    <row r="16">
      <c r="A16" s="2" t="inlineStr">
        <is>
          <t>SIGN-OFF DECISION</t>
        </is>
      </c>
      <c r="B16" s="11">
        <f>IF(COUNTIF(B11:B15,"Y")=5,"APPROVED — may launch on GO","NOT APPROVED")</f>
        <v/>
      </c>
    </row>
    <row r="18">
      <c r="A18" s="3" t="inlineStr">
        <is>
          <t>A verbal 'go ahead' is not sign-off. Sign-off must name the exact creative version, budget, and dates being launched. If any of those change after sign-off, get sign-off again.</t>
        </is>
      </c>
    </row>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B28"/>
  <sheetViews>
    <sheetView workbookViewId="0">
      <selection activeCell="A1" sqref="A1"/>
    </sheetView>
  </sheetViews>
  <sheetFormatPr baseColWidth="8" defaultRowHeight="15"/>
  <cols>
    <col width="44" customWidth="1" min="1" max="1"/>
    <col width="62" customWidth="1" min="2" max="2"/>
  </cols>
  <sheetData>
    <row r="1">
      <c r="A1" s="1" t="inlineStr">
        <is>
          <t>WORKED EXAMPLE — FICTIONAL: Brightline Media x Harbor &amp; Pine Outfitters</t>
        </is>
      </c>
    </row>
    <row r="2" ht="30" customHeight="1">
      <c r="A2" s="3" t="inlineStr">
        <is>
          <t>A 3-person agency launches a Meta campaign for a fictional outdoor retailer. The checker runs the 40-check gate BEFORE launch and catches 3 errors. All numbers below are formulas — change an input and watch them recompute.</t>
        </is>
      </c>
    </row>
    <row r="4">
      <c r="A4" s="2" t="inlineStr">
        <is>
          <t>ERROR 1 — BUDGET (caught)</t>
        </is>
      </c>
    </row>
    <row r="5">
      <c r="A5" t="inlineStr">
        <is>
          <t>Planned daily budget</t>
        </is>
      </c>
      <c r="B5" s="8" t="n">
        <v>400</v>
      </c>
    </row>
    <row r="6">
      <c r="A6" t="inlineStr">
        <is>
          <t>Daily budget ENTERED (extra zero)</t>
        </is>
      </c>
      <c r="B6" s="8" t="n">
        <v>4000</v>
      </c>
    </row>
    <row r="7">
      <c r="A7" t="inlineStr">
        <is>
          <t>Days before the checker caught it</t>
        </is>
      </c>
      <c r="B7" s="12" t="n">
        <v>2</v>
      </c>
    </row>
    <row r="8">
      <c r="A8" t="inlineStr">
        <is>
          <t>Spend at risk if it had run unnoticed</t>
        </is>
      </c>
      <c r="B8" s="15">
        <f>(B6-B5)*B7</f>
        <v/>
      </c>
    </row>
    <row r="9">
      <c r="A9" t="inlineStr">
        <is>
          <t>Fix: budget corrected to plan; day-1 cap + alert set.</t>
        </is>
      </c>
    </row>
    <row r="11">
      <c r="A11" s="2" t="inlineStr">
        <is>
          <t>ERROR 2 — TRACKING (caught)</t>
        </is>
      </c>
    </row>
    <row r="12">
      <c r="A12" t="inlineStr">
        <is>
          <t>UTM campaign typed</t>
        </is>
      </c>
      <c r="B12" s="12" t="inlineStr">
        <is>
          <t>spring-sale-2025</t>
        </is>
      </c>
    </row>
    <row r="13">
      <c r="A13" t="inlineStr">
        <is>
          <t>UTM campaign should be</t>
        </is>
      </c>
      <c r="B13" s="12" t="inlineStr">
        <is>
          <t>spring-sale-2026</t>
        </is>
      </c>
    </row>
    <row r="14">
      <c r="A14" t="inlineStr">
        <is>
          <t>Match?</t>
        </is>
      </c>
      <c r="B14" s="11">
        <f>IF(B12=B13,"MATCH","MISMATCH — recycled name from last year")</f>
        <v/>
      </c>
    </row>
    <row r="15">
      <c r="A15" t="inlineStr">
        <is>
          <t>Fix: UTM rebuilt with the 2026 campaign name; builder validation re-run.</t>
        </is>
      </c>
    </row>
    <row r="17">
      <c r="A17" s="2" t="inlineStr">
        <is>
          <t>ERROR 3 — LANDING PAGE (caught)</t>
        </is>
      </c>
    </row>
    <row r="18">
      <c r="A18" t="inlineStr">
        <is>
          <t>Form test on mobile</t>
        </is>
      </c>
      <c r="B18" s="12" t="inlineStr">
        <is>
          <t>Submit button did nothing (JS error)</t>
        </is>
      </c>
    </row>
    <row r="19">
      <c r="A19" t="inlineStr">
        <is>
          <t>Leads that would have been lost</t>
        </is>
      </c>
      <c r="B19" t="inlineStr">
        <is>
          <t>Every mobile lead until fixed</t>
        </is>
      </c>
    </row>
    <row r="20">
      <c r="A20" t="inlineStr">
        <is>
          <t>Fix: developer fixed the form; checker re-tested submit end-to-end on mobile and desktop.</t>
        </is>
      </c>
    </row>
    <row r="22">
      <c r="A22" s="2" t="inlineStr">
        <is>
          <t>OUTCOME</t>
        </is>
      </c>
    </row>
    <row r="23">
      <c r="A23" t="inlineStr">
        <is>
          <t>Checks run</t>
        </is>
      </c>
      <c r="B23" t="n">
        <v>40</v>
      </c>
    </row>
    <row r="24">
      <c r="A24" t="inlineStr">
        <is>
          <t>Errors caught before launch</t>
        </is>
      </c>
      <c r="B24" t="n">
        <v>3</v>
      </c>
    </row>
    <row r="25">
      <c r="A25" t="inlineStr">
        <is>
          <t>First verdict</t>
        </is>
      </c>
      <c r="B25" t="inlineStr">
        <is>
          <t>NO-GO (1 BLOCK: budget + tracking not verified)</t>
        </is>
      </c>
    </row>
    <row r="26">
      <c r="A26" t="inlineStr">
        <is>
          <t>Verdict after fixes</t>
        </is>
      </c>
      <c r="B26" t="inlineStr">
        <is>
          <t>GO — launched 2026-03-16 with sign-off on file</t>
        </is>
      </c>
    </row>
    <row r="27">
      <c r="A27" t="inlineStr">
        <is>
          <t>Spend at risk avoided (Error 1 math)</t>
        </is>
      </c>
      <c r="B27" s="9">
        <f>B8</f>
        <v/>
      </c>
    </row>
    <row r="28" ht="30" customHeight="1">
      <c r="A28" s="3" t="inlineStr">
        <is>
          <t>The point is not that this agency is careless. The point is that a 15-minute second-person check caught three errors that would each have cost money, leads, or client trust.</t>
        </is>
      </c>
    </row>
  </sheetData>
  <mergeCells count="2">
    <mergeCell ref="A2:B2"/>
    <mergeCell ref="A28:B2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2026-10-19T12:37:29Z</dcterms:created>
  <dcterms:modified xmlns:dcterms="http://purl.org/dc/terms/" xmlns:xsi="http://www.w3.org/2001/XMLSchema-instance" xsi:type="dcterms:W3CDTF">2026-10-19T12:37:30+00:00Z</dcterms:modified>
</cp:coreProperties>
</file>